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jimo/Documents/SEVAN _ DOCUMENT/ERP LOGISITIQUE/"/>
    </mc:Choice>
  </mc:AlternateContent>
  <xr:revisionPtr revIDLastSave="0" documentId="8_{1A31F5D4-E859-9549-AD72-5424BC7331F2}" xr6:coauthVersionLast="47" xr6:coauthVersionMax="47" xr10:uidLastSave="{00000000-0000-0000-0000-000000000000}"/>
  <bookViews>
    <workbookView xWindow="29400" yWindow="600" windowWidth="38400" windowHeight="21000" xr2:uid="{00000000-000D-0000-FFFF-FFFF00000000}"/>
  </bookViews>
  <sheets>
    <sheet name="Produits" sheetId="1" r:id="rId1"/>
    <sheet name="Not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</calcChain>
</file>

<file path=xl/sharedStrings.xml><?xml version="1.0" encoding="utf-8"?>
<sst xmlns="http://schemas.openxmlformats.org/spreadsheetml/2006/main" count="465" uniqueCount="213">
  <si>
    <t>Réference*</t>
  </si>
  <si>
    <t>Nom du produit*</t>
  </si>
  <si>
    <t>Catégories*</t>
  </si>
  <si>
    <t>Sous catégories gousse</t>
  </si>
  <si>
    <t>Sous catégories extrait</t>
  </si>
  <si>
    <t>Sous catégories pates de vanille</t>
  </si>
  <si>
    <t>Déscription courte</t>
  </si>
  <si>
    <t>Profil aromatique</t>
  </si>
  <si>
    <t>Usage recommandé</t>
  </si>
  <si>
    <t>Conditionement</t>
  </si>
  <si>
    <t>MOQ</t>
  </si>
  <si>
    <t>Unité de vente</t>
  </si>
  <si>
    <t>Disponibilité</t>
  </si>
  <si>
    <t>Prix min. FOB par kg</t>
  </si>
  <si>
    <t>Vanille Noire Gourmet</t>
  </si>
  <si>
    <t>gousses</t>
  </si>
  <si>
    <t>non fendue</t>
  </si>
  <si>
    <t/>
  </si>
  <si>
    <t>Vanille noire premium, charnue et souple pour applications haut de gamme.</t>
  </si>
  <si>
    <t>Vanillé riche, notes fruitées, rondeur gourmande</t>
  </si>
  <si>
    <t>Retail premium, pâtisserie, restauration, transformation haut de gamme</t>
  </si>
  <si>
    <t>Sous vide: 250g, 500g, 1kg, 5kg, 10kg, 25kg</t>
  </si>
  <si>
    <t>25 kg</t>
  </si>
  <si>
    <t>kg</t>
  </si>
  <si>
    <t>Disponible</t>
  </si>
  <si>
    <t>Vanille Noire</t>
  </si>
  <si>
    <t>Vanille noire premium équilibrée pour usage professionnel.</t>
  </si>
  <si>
    <t>Vanillé floral, légèrement chocolaté</t>
  </si>
  <si>
    <t>Pâtisserie, infusion, glace, extraction artisanale</t>
  </si>
  <si>
    <t>Vanille TK</t>
  </si>
  <si>
    <t>Vanille technique intermédiaire, plus économique que la gourmet.</t>
  </si>
  <si>
    <t>Vanillé floral</t>
  </si>
  <si>
    <t>Extraction, transformation, industrie artisanale</t>
  </si>
  <si>
    <t>Sous vide: 1kg, 5kg, 10kg, 25kg</t>
  </si>
  <si>
    <t>GV-RE</t>
  </si>
  <si>
    <t>Vanille Rouge Europe</t>
  </si>
  <si>
    <t>Vanille rouge pour applications industrielles et semi-industrielles.</t>
  </si>
  <si>
    <t>Floral, légèrement boisé</t>
  </si>
  <si>
    <t>Industrie agroalimentaire, extraction, boulangerie, dairy</t>
  </si>
  <si>
    <t>100 kg</t>
  </si>
  <si>
    <t>GV-RUS</t>
  </si>
  <si>
    <t>Vanille Rouge US</t>
  </si>
  <si>
    <t>Vanille plus sèche et économique pour extraction et formulations de masse.</t>
  </si>
  <si>
    <t>Fruité, caramélisé</t>
  </si>
  <si>
    <t>Extraction, poudre, applications industrielles</t>
  </si>
  <si>
    <t>GV-CUT</t>
  </si>
  <si>
    <t>Vanille Cuts</t>
  </si>
  <si>
    <t>fendue / mix</t>
  </si>
  <si>
    <t>Morceaux, extrémités et gousses courtes pour usages techniques.</t>
  </si>
  <si>
    <t>Caramel, vanillé, cacao léger</t>
  </si>
  <si>
    <t>Broyage, extraction, infusion industrielle</t>
  </si>
  <si>
    <t>Sous vide: 5kg, 10kg, vrac: 20kg, 25kg</t>
  </si>
  <si>
    <t>100 à 250 kg</t>
  </si>
  <si>
    <t>GV-QCP</t>
  </si>
  <si>
    <t>Vanille QCP</t>
  </si>
  <si>
    <t>fendue / préparée</t>
  </si>
  <si>
    <t>Vanille préparée pour extraction et usages techniques.</t>
  </si>
  <si>
    <t>Vanillé intense</t>
  </si>
  <si>
    <t>Extraction, macération, préparation technique</t>
  </si>
  <si>
    <t>Sous vide: 1kg, 2kg, 5kg, 10kg, vrac: 25kg, 30kg</t>
  </si>
  <si>
    <t>GV-NF</t>
  </si>
  <si>
    <t>Vanille Noire Fendue</t>
  </si>
  <si>
    <t>fendue</t>
  </si>
  <si>
    <t>Vanille noire ouverte pour accéder plus facilement aux graines.</t>
  </si>
  <si>
    <t>Fruité, chocolaté, vanillé</t>
  </si>
  <si>
    <t>Pâte, caviar, extraction, pâtisserie</t>
  </si>
  <si>
    <t>Sous vide: 1kg, 2kg, 5kg, 10kg, vrac: 20kg, 25kg</t>
  </si>
  <si>
    <t>50 à 100 kg</t>
  </si>
  <si>
    <t>GV-RF</t>
  </si>
  <si>
    <t>Vanille Rouge Fendue</t>
  </si>
  <si>
    <t>Vanille fendue plus sèche pour transformation industrielle.</t>
  </si>
  <si>
    <t>Extraction, broyage, industrie</t>
  </si>
  <si>
    <t>PV-A</t>
  </si>
  <si>
    <t>Poudre de Vanille Grade A</t>
  </si>
  <si>
    <t>poudre</t>
  </si>
  <si>
    <t>Poudre premium issue de gousses entières de qualité supérieure.</t>
  </si>
  <si>
    <t>Vanille gourmande, chaude, naturelle</t>
  </si>
  <si>
    <t>Pâtisserie, chocolaterie, dry mixes, glace</t>
  </si>
  <si>
    <t>Sous vide: 250g, 500g, 1kg, seau: 5kg, 10kg</t>
  </si>
  <si>
    <t>PV-B</t>
  </si>
  <si>
    <t>Poudre de Vanille Grade B</t>
  </si>
  <si>
    <t>Poudre B2B équilibrée entre performance aromatique et coût matière.</t>
  </si>
  <si>
    <t>Vanillé gourmand</t>
  </si>
  <si>
    <t>Biscuiterie, dairy, desserts, formulations industrielles</t>
  </si>
  <si>
    <t>PV-C</t>
  </si>
  <si>
    <t>Poudre de Vanille Grade C</t>
  </si>
  <si>
    <t>Poudre économique pour applications industrielles.</t>
  </si>
  <si>
    <t>Note de vanille légère</t>
  </si>
  <si>
    <t>Applications industrielles économiques, mixes, bases sèches</t>
  </si>
  <si>
    <t>50 kg</t>
  </si>
  <si>
    <t>PV-E</t>
  </si>
  <si>
    <t>Poudre de Vanille Épuisée</t>
  </si>
  <si>
    <t>Poudre après extraction, à faible apport aromatique.</t>
  </si>
  <si>
    <t>Très faible</t>
  </si>
  <si>
    <t>Effet visuel, inclusions, clean label, produits laitiers, desserts</t>
  </si>
  <si>
    <t>GR-CAV</t>
  </si>
  <si>
    <t>Caviar de Vanille</t>
  </si>
  <si>
    <t>graine</t>
  </si>
  <si>
    <t>Graines extraites de gousses premium, avec impact visuel et aromatique.</t>
  </si>
  <si>
    <t>Vanille naturelle intense</t>
  </si>
  <si>
    <t>Glaces, pâtisserie, sauces, desserts premium</t>
  </si>
  <si>
    <t>5 à 15 kg</t>
  </si>
  <si>
    <t>GR-GE</t>
  </si>
  <si>
    <t>Graines de Vanille Épuisées</t>
  </si>
  <si>
    <t>Graines issues de gousses extraites, visuelles avec faible apport aromatique.</t>
  </si>
  <si>
    <t>Nul à très faible</t>
  </si>
  <si>
    <t>Effet visuel, produits laitiers, inclusions, desserts</t>
  </si>
  <si>
    <t>15 kg</t>
  </si>
  <si>
    <t>EX-1A</t>
  </si>
  <si>
    <t>Vanilla Extract 1X</t>
  </si>
  <si>
    <t>extrait de vanille</t>
  </si>
  <si>
    <t>Préparation alcoolisée</t>
  </si>
  <si>
    <t>Extrait naturel standard pour applications professionnelles et export.</t>
  </si>
  <si>
    <t>Vanille alcoolisée</t>
  </si>
  <si>
    <t>Pâtisserie, glaces, sauces, boissons, formulations professionnelles</t>
  </si>
  <si>
    <t>Bouteille: 0,5L, 1L, bidon: 5L, 10L, 25L, 200L sur demande</t>
  </si>
  <si>
    <t>10 kg</t>
  </si>
  <si>
    <t>kg / L</t>
  </si>
  <si>
    <t>EX-2A</t>
  </si>
  <si>
    <t>Vanilla Extract 2X</t>
  </si>
  <si>
    <t>Extrait concentré pour meilleur rendement de dosage.</t>
  </si>
  <si>
    <t>Glaces, pâtisserie, sauces, industrie agroalimentaire</t>
  </si>
  <si>
    <t>EX-3A</t>
  </si>
  <si>
    <t>Vanilla Extract 3X</t>
  </si>
  <si>
    <t>Extrait concentré intermédiaire pour process professionnels.</t>
  </si>
  <si>
    <t>Formulations professionnelles, glaces, pâtisserie, sauces, industrie</t>
  </si>
  <si>
    <t>Bouteille: 0,5L, 1L, bidon: 5L, 10L, 25L</t>
  </si>
  <si>
    <t>EX-5A</t>
  </si>
  <si>
    <t>Vanilla Extract 5X</t>
  </si>
  <si>
    <t>Extrait fortement concentré pour réduction du dosage.</t>
  </si>
  <si>
    <t>Vanillé concentré</t>
  </si>
  <si>
    <t>Industrie, confiserie, desserts, formulations concentrées</t>
  </si>
  <si>
    <t>5 à 10 kg</t>
  </si>
  <si>
    <t>EX-10A</t>
  </si>
  <si>
    <t>Vanilla Extract 10X</t>
  </si>
  <si>
    <t>Extrait très concentré pour applications industrielles à faible dosage.</t>
  </si>
  <si>
    <t>Industrie, formulation technique, réduction du dosage</t>
  </si>
  <si>
    <t>5 kg</t>
  </si>
  <si>
    <t>EX-20A</t>
  </si>
  <si>
    <t>Vanilla Extract 20X</t>
  </si>
  <si>
    <t>Extrait très fortement concentré pour cahiers des charges spécifiques.</t>
  </si>
  <si>
    <t>Vanillé très concentré</t>
  </si>
  <si>
    <t>Applications industrielles spécifiques</t>
  </si>
  <si>
    <t>Bidon: 5L, 10L, 25L</t>
  </si>
  <si>
    <t>Sur demande</t>
  </si>
  <si>
    <t>EX-1NA</t>
  </si>
  <si>
    <t>Alcohol-Free Vanilla Preparation 1X</t>
  </si>
  <si>
    <t>Préparation non alcoolisée</t>
  </si>
  <si>
    <t>Préparation vanille sans alcool pour marchés excluant l’éthanol.</t>
  </si>
  <si>
    <t>Note naturelle de vanille</t>
  </si>
  <si>
    <t>Halal, boissons, dairy, desserts, applications sans alcool</t>
  </si>
  <si>
    <t>EX-2NA</t>
  </si>
  <si>
    <t>Alcohol-Free Vanilla Preparation 2X</t>
  </si>
  <si>
    <t>Préparation vanille sans alcool plus concentrée.</t>
  </si>
  <si>
    <t>Vanillé naturel</t>
  </si>
  <si>
    <t>Industrie, boissons, formulations spécifiques</t>
  </si>
  <si>
    <t>EX-1S</t>
  </si>
  <si>
    <t>Sweetened Vanilla Preparation 1X</t>
  </si>
  <si>
    <t>Préparation sucrée</t>
  </si>
  <si>
    <t>Préparation vanille sucrée avec bonne dispersion.</t>
  </si>
  <si>
    <t>Vanillé doux</t>
  </si>
  <si>
    <t>Pâtisserie, sauces, boissons, desserts</t>
  </si>
  <si>
    <t>EX-2S</t>
  </si>
  <si>
    <t>Sweetened Vanilla Preparation 2X</t>
  </si>
  <si>
    <t>Préparation vanille sucrée plus concentrée pour B2B.</t>
  </si>
  <si>
    <t>Vanillé doux et concentré</t>
  </si>
  <si>
    <t>Industrie, desserts, applications aromatiques concentrées</t>
  </si>
  <si>
    <t>PT-GS</t>
  </si>
  <si>
    <t>Pâte de Vanille avec Graines, Sucrée</t>
  </si>
  <si>
    <t>pates de vanille</t>
  </si>
  <si>
    <t>Pâte premium à base d’extrait, de graines et de sucre.</t>
  </si>
  <si>
    <t>Note de vanille intense</t>
  </si>
  <si>
    <t>Glaces, pâtisserie, dairy, sauces, desserts premium</t>
  </si>
  <si>
    <t>Pot / seau: 1kg, 5kg, 10kg, 25kg</t>
  </si>
  <si>
    <t>PT-GNS</t>
  </si>
  <si>
    <t>Pâte de Vanille avec Graines, Non Sucrée</t>
  </si>
  <si>
    <t>Préparation non sucrée</t>
  </si>
  <si>
    <t>Pâte concentrée à base d’extrait et de graines.</t>
  </si>
  <si>
    <t>Applications premium, formulations à faible sucre, glaces, pâtisserie</t>
  </si>
  <si>
    <t>PT-SGS</t>
  </si>
  <si>
    <t>Pâte de Vanille sans Graines, Sucrée</t>
  </si>
  <si>
    <t>Pâte lisse pour applications sans marquage visuel de graines.</t>
  </si>
  <si>
    <t>Sauces, boissons, crèmes, formulations sans inclusions visuelles</t>
  </si>
  <si>
    <t>PT-SGNS</t>
  </si>
  <si>
    <t>Pâte de Vanille sans Graines, Non Sucrée</t>
  </si>
  <si>
    <t>Pâte lisse et concentrée sans sucre ajouté.</t>
  </si>
  <si>
    <t>Formulations techniques, industrie, applications sans sucre</t>
  </si>
  <si>
    <t>Sources</t>
  </si>
  <si>
    <t>Catalogue_refonte_produits_vanille_B2B.docx</t>
  </si>
  <si>
    <t>Remarque</t>
  </si>
  <si>
    <t>Les champs prix sont laissés vides quand aucune correspondance tarifaire directe n'existe dans le fichier prix.</t>
  </si>
  <si>
    <t>Listes de valeurs</t>
  </si>
  <si>
    <t>oléorésine</t>
  </si>
  <si>
    <t>Prix d'achat par kg</t>
  </si>
  <si>
    <t>TAILLE (GOUSSES SEULEMENT)</t>
  </si>
  <si>
    <t>18CM-21CM</t>
  </si>
  <si>
    <t>16CM-21CM</t>
  </si>
  <si>
    <t>13CM-21CM</t>
  </si>
  <si>
    <t>9CM-16CM</t>
  </si>
  <si>
    <t>Loose bean</t>
  </si>
  <si>
    <t>GV-LB</t>
  </si>
  <si>
    <t>GV-N16</t>
  </si>
  <si>
    <t>GV-N18</t>
  </si>
  <si>
    <t>GV-TK16</t>
  </si>
  <si>
    <t>GV-TK18</t>
  </si>
  <si>
    <t>Drêche de vanille</t>
  </si>
  <si>
    <t>fendue / mix / coupée</t>
  </si>
  <si>
    <t>2CM-13CM</t>
  </si>
  <si>
    <t>1CM-2CM</t>
  </si>
  <si>
    <t>Vanillé</t>
  </si>
  <si>
    <t>Très faible en odeur de vanille</t>
  </si>
  <si>
    <t>500kg</t>
  </si>
  <si>
    <t>50kg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</si>
</sst>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Ar&quot;"/>
    <numFmt numFmtId="165" formatCode="0.00\ &quot;USD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B2A1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B8A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2">
    <dxf>
      <numFmt numFmtId="165" formatCode="0.00\ &quot;USD&quot;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C9B8A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Produits" displayName="TableProduits" ref="A1:P33">
  <autoFilter ref="A1:P33" xr:uid="{00000000-0009-0000-0100-000001000000}"/>
  <tableColumns count="16">
    <tableColumn id="1" xr3:uid="{00000000-0010-0000-0000-000001000000}" name="Réference*"/>
    <tableColumn id="2" xr3:uid="{00000000-0010-0000-0000-000002000000}" name="Nom du produit*"/>
    <tableColumn id="3" xr3:uid="{00000000-0010-0000-0000-000003000000}" name="Catégories*"/>
    <tableColumn id="4" xr3:uid="{00000000-0010-0000-0000-000004000000}" name="Sous catégories gousse"/>
    <tableColumn id="16" xr3:uid="{B0D02E41-4096-B449-96D9-E4722CB7B002}" name="TAILLE (GOUSSES SEULEMENT)" dataDxfId="1"/>
    <tableColumn id="5" xr3:uid="{00000000-0010-0000-0000-000005000000}" name="Sous catégories extrait"/>
    <tableColumn id="6" xr3:uid="{00000000-0010-0000-0000-000006000000}" name="Sous catégories pates de vanille"/>
    <tableColumn id="7" xr3:uid="{00000000-0010-0000-0000-000007000000}" name="Déscription courte"/>
    <tableColumn id="8" xr3:uid="{00000000-0010-0000-0000-000008000000}" name="Profil aromatique"/>
    <tableColumn id="9" xr3:uid="{00000000-0010-0000-0000-000009000000}" name="Usage recommandé"/>
    <tableColumn id="10" xr3:uid="{00000000-0010-0000-0000-00000A000000}" name="Conditionement"/>
    <tableColumn id="11" xr3:uid="{00000000-0010-0000-0000-00000B000000}" name="MOQ"/>
    <tableColumn id="12" xr3:uid="{00000000-0010-0000-0000-00000C000000}" name="Unité de vente"/>
    <tableColumn id="13" xr3:uid="{00000000-0010-0000-0000-00000D000000}" name="Disponibilité"/>
    <tableColumn id="14" xr3:uid="{00000000-0010-0000-0000-00000E000000}" name="Prix d'achat par kg"/>
    <tableColumn id="15" xr3:uid="{00000000-0010-0000-0000-00000F000000}" name="Prix min. FOB par kg" dataDxfId="0">
      <calculatedColumnFormula>(TableProduits[[#This Row],[Prix d''achat par kg]]+(TableProduits[[#This Row],[Prix d''achat par kg]]*150%))/4400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D1" workbookViewId="0">
      <selection activeCell="P14" sqref="P14"/>
    </sheetView>
  </sheetViews>
  <sheetFormatPr baseColWidth="10" defaultColWidth="8.83203125" defaultRowHeight="15" x14ac:dyDescent="0.2"/>
  <cols>
    <col min="1" max="1" width="14" customWidth="1"/>
    <col min="2" max="2" width="34" customWidth="1"/>
    <col min="3" max="3" width="20" customWidth="1"/>
    <col min="4" max="5" width="18" customWidth="1"/>
    <col min="6" max="6" width="27" customWidth="1"/>
    <col min="7" max="7" width="26" customWidth="1"/>
    <col min="8" max="8" width="42" customWidth="1"/>
    <col min="9" max="9" width="28" customWidth="1"/>
    <col min="10" max="10" width="42" customWidth="1"/>
    <col min="11" max="11" width="38" customWidth="1"/>
    <col min="12" max="14" width="14" customWidth="1"/>
    <col min="15" max="16" width="18" customWidth="1"/>
  </cols>
  <sheetData>
    <row r="1" spans="1:16" ht="45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194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193</v>
      </c>
      <c r="P1" s="1" t="s">
        <v>13</v>
      </c>
    </row>
    <row r="2" spans="1:16" ht="32" x14ac:dyDescent="0.2">
      <c r="A2" s="2" t="s">
        <v>201</v>
      </c>
      <c r="B2" s="2" t="s">
        <v>14</v>
      </c>
      <c r="C2" s="2" t="s">
        <v>15</v>
      </c>
      <c r="D2" s="2" t="s">
        <v>16</v>
      </c>
      <c r="E2" s="2" t="s">
        <v>196</v>
      </c>
      <c r="F2" s="2" t="s">
        <v>17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3">
        <v>78000</v>
      </c>
      <c r="P2" s="4">
        <f>(TableProduits[[#This Row],[Prix d''achat par kg]]+(TableProduits[[#This Row],[Prix d''achat par kg]]*150%))/4400</f>
        <v>44.31818181818182</v>
      </c>
    </row>
    <row r="3" spans="1:16" ht="32" x14ac:dyDescent="0.2">
      <c r="A3" s="2" t="s">
        <v>202</v>
      </c>
      <c r="B3" s="2" t="s">
        <v>25</v>
      </c>
      <c r="C3" s="2" t="s">
        <v>15</v>
      </c>
      <c r="D3" s="2" t="s">
        <v>16</v>
      </c>
      <c r="E3" s="2" t="s">
        <v>195</v>
      </c>
      <c r="F3" s="2" t="s">
        <v>17</v>
      </c>
      <c r="G3" s="2" t="s">
        <v>17</v>
      </c>
      <c r="H3" s="2" t="s">
        <v>26</v>
      </c>
      <c r="I3" s="2" t="s">
        <v>27</v>
      </c>
      <c r="J3" s="2" t="s">
        <v>28</v>
      </c>
      <c r="K3" s="2" t="s">
        <v>21</v>
      </c>
      <c r="L3" s="2" t="s">
        <v>22</v>
      </c>
      <c r="M3" s="2" t="s">
        <v>23</v>
      </c>
      <c r="N3" s="2" t="s">
        <v>24</v>
      </c>
      <c r="O3" s="3">
        <v>90000</v>
      </c>
      <c r="P3" s="4">
        <f>(TableProduits[[#This Row],[Prix d''achat par kg]]+(TableProduits[[#This Row],[Prix d''achat par kg]]*150%))/4400</f>
        <v>51.136363636363633</v>
      </c>
    </row>
    <row r="4" spans="1:16" ht="32" x14ac:dyDescent="0.2">
      <c r="A4" s="2" t="s">
        <v>203</v>
      </c>
      <c r="B4" s="2" t="s">
        <v>29</v>
      </c>
      <c r="C4" s="2" t="s">
        <v>15</v>
      </c>
      <c r="D4" s="2" t="s">
        <v>16</v>
      </c>
      <c r="E4" s="2" t="s">
        <v>196</v>
      </c>
      <c r="F4" s="2" t="s">
        <v>17</v>
      </c>
      <c r="G4" s="2" t="s">
        <v>17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22</v>
      </c>
      <c r="M4" s="2" t="s">
        <v>23</v>
      </c>
      <c r="N4" s="2" t="s">
        <v>24</v>
      </c>
      <c r="O4" s="3">
        <v>75000</v>
      </c>
      <c r="P4" s="4">
        <f>(TableProduits[[#This Row],[Prix d''achat par kg]]+(TableProduits[[#This Row],[Prix d''achat par kg]]*150%))/4400</f>
        <v>42.613636363636367</v>
      </c>
    </row>
    <row r="5" spans="1:16" ht="32" x14ac:dyDescent="0.2">
      <c r="A5" s="2" t="s">
        <v>204</v>
      </c>
      <c r="B5" s="2" t="s">
        <v>29</v>
      </c>
      <c r="C5" s="2" t="s">
        <v>15</v>
      </c>
      <c r="D5" s="2" t="s">
        <v>16</v>
      </c>
      <c r="E5" s="2" t="s">
        <v>195</v>
      </c>
      <c r="F5" s="2" t="s">
        <v>17</v>
      </c>
      <c r="G5" s="2" t="s">
        <v>17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22</v>
      </c>
      <c r="M5" s="2" t="s">
        <v>23</v>
      </c>
      <c r="N5" s="2" t="s">
        <v>24</v>
      </c>
      <c r="O5" s="3">
        <v>90000</v>
      </c>
      <c r="P5" s="4">
        <f>(TableProduits[[#This Row],[Prix d''achat par kg]]+(TableProduits[[#This Row],[Prix d''achat par kg]]*150%))/4400</f>
        <v>51.136363636363633</v>
      </c>
    </row>
    <row r="6" spans="1:16" ht="32" x14ac:dyDescent="0.2">
      <c r="A6" s="2" t="s">
        <v>34</v>
      </c>
      <c r="B6" s="2" t="s">
        <v>35</v>
      </c>
      <c r="C6" s="2" t="s">
        <v>15</v>
      </c>
      <c r="D6" s="2" t="s">
        <v>16</v>
      </c>
      <c r="E6" s="2" t="s">
        <v>197</v>
      </c>
      <c r="F6" s="2" t="s">
        <v>17</v>
      </c>
      <c r="G6" s="2" t="s">
        <v>17</v>
      </c>
      <c r="H6" s="2" t="s">
        <v>36</v>
      </c>
      <c r="I6" s="2" t="s">
        <v>37</v>
      </c>
      <c r="J6" s="2" t="s">
        <v>38</v>
      </c>
      <c r="K6" s="2" t="s">
        <v>33</v>
      </c>
      <c r="L6" s="2" t="s">
        <v>39</v>
      </c>
      <c r="M6" s="2" t="s">
        <v>23</v>
      </c>
      <c r="N6" s="2" t="s">
        <v>24</v>
      </c>
      <c r="O6" s="3">
        <v>75000</v>
      </c>
      <c r="P6" s="4">
        <f>(TableProduits[[#This Row],[Prix d''achat par kg]]+(TableProduits[[#This Row],[Prix d''achat par kg]]*150%))/4400</f>
        <v>42.613636363636367</v>
      </c>
    </row>
    <row r="7" spans="1:16" ht="32" x14ac:dyDescent="0.2">
      <c r="A7" s="2" t="s">
        <v>40</v>
      </c>
      <c r="B7" s="2" t="s">
        <v>41</v>
      </c>
      <c r="C7" s="2" t="s">
        <v>15</v>
      </c>
      <c r="D7" s="2" t="s">
        <v>16</v>
      </c>
      <c r="E7" s="2" t="s">
        <v>197</v>
      </c>
      <c r="F7" s="2" t="s">
        <v>17</v>
      </c>
      <c r="G7" s="2" t="s">
        <v>17</v>
      </c>
      <c r="H7" s="2" t="s">
        <v>42</v>
      </c>
      <c r="I7" s="2" t="s">
        <v>43</v>
      </c>
      <c r="J7" s="2" t="s">
        <v>44</v>
      </c>
      <c r="K7" s="2" t="s">
        <v>33</v>
      </c>
      <c r="L7" s="2" t="s">
        <v>39</v>
      </c>
      <c r="M7" s="2" t="s">
        <v>23</v>
      </c>
      <c r="N7" s="2" t="s">
        <v>24</v>
      </c>
      <c r="O7" s="3">
        <v>70000</v>
      </c>
      <c r="P7" s="4">
        <f>(TableProduits[[#This Row],[Prix d''achat par kg]]+(TableProduits[[#This Row],[Prix d''achat par kg]]*150%))/4400</f>
        <v>39.772727272727273</v>
      </c>
    </row>
    <row r="8" spans="1:16" ht="32" x14ac:dyDescent="0.2">
      <c r="A8" s="2" t="s">
        <v>200</v>
      </c>
      <c r="B8" s="2" t="s">
        <v>199</v>
      </c>
      <c r="C8" s="2" t="s">
        <v>15</v>
      </c>
      <c r="D8" s="2" t="s">
        <v>47</v>
      </c>
      <c r="E8" s="2" t="s">
        <v>198</v>
      </c>
      <c r="F8" s="2" t="s">
        <v>17</v>
      </c>
      <c r="G8" s="2" t="s">
        <v>17</v>
      </c>
      <c r="H8" s="2" t="s">
        <v>48</v>
      </c>
      <c r="I8" s="2" t="s">
        <v>49</v>
      </c>
      <c r="J8" s="2" t="s">
        <v>50</v>
      </c>
      <c r="K8" s="2" t="s">
        <v>51</v>
      </c>
      <c r="L8" s="2" t="s">
        <v>52</v>
      </c>
      <c r="M8" s="2" t="s">
        <v>23</v>
      </c>
      <c r="N8" s="2" t="s">
        <v>24</v>
      </c>
      <c r="O8" s="3">
        <v>55000</v>
      </c>
      <c r="P8" s="4">
        <f>(TableProduits[[#This Row],[Prix d''achat par kg]]+(TableProduits[[#This Row],[Prix d''achat par kg]]*150%))/4400</f>
        <v>31.25</v>
      </c>
    </row>
    <row r="9" spans="1:16" ht="32" x14ac:dyDescent="0.2">
      <c r="A9" s="2" t="s">
        <v>45</v>
      </c>
      <c r="B9" s="2" t="s">
        <v>46</v>
      </c>
      <c r="C9" s="2" t="s">
        <v>15</v>
      </c>
      <c r="D9" s="2" t="s">
        <v>47</v>
      </c>
      <c r="E9" s="2" t="s">
        <v>198</v>
      </c>
      <c r="F9" s="2" t="s">
        <v>17</v>
      </c>
      <c r="G9" s="2" t="s">
        <v>17</v>
      </c>
      <c r="H9" s="2" t="s">
        <v>48</v>
      </c>
      <c r="I9" s="2" t="s">
        <v>209</v>
      </c>
      <c r="J9" s="2" t="s">
        <v>50</v>
      </c>
      <c r="K9" s="2" t="s">
        <v>51</v>
      </c>
      <c r="L9" s="2" t="s">
        <v>52</v>
      </c>
      <c r="M9" s="2" t="s">
        <v>23</v>
      </c>
      <c r="N9" s="2" t="s">
        <v>24</v>
      </c>
      <c r="O9" s="3">
        <v>35000</v>
      </c>
      <c r="P9" s="4">
        <f>(TableProduits[[#This Row],[Prix d''achat par kg]]+(TableProduits[[#This Row],[Prix d''achat par kg]]*150%))/4400</f>
        <v>19.886363636363637</v>
      </c>
    </row>
    <row r="10" spans="1:16" ht="32" x14ac:dyDescent="0.2">
      <c r="A10" s="2" t="s">
        <v>45</v>
      </c>
      <c r="B10" s="2" t="s">
        <v>205</v>
      </c>
      <c r="C10" s="2" t="s">
        <v>15</v>
      </c>
      <c r="D10" s="2" t="s">
        <v>206</v>
      </c>
      <c r="E10" s="2" t="s">
        <v>207</v>
      </c>
      <c r="F10" s="2" t="s">
        <v>17</v>
      </c>
      <c r="G10" s="2" t="s">
        <v>17</v>
      </c>
      <c r="H10" s="2" t="s">
        <v>48</v>
      </c>
      <c r="I10" s="2" t="s">
        <v>210</v>
      </c>
      <c r="J10" s="2" t="s">
        <v>50</v>
      </c>
      <c r="K10" s="2" t="s">
        <v>51</v>
      </c>
      <c r="L10" s="2" t="s">
        <v>211</v>
      </c>
      <c r="M10" s="2" t="s">
        <v>23</v>
      </c>
      <c r="N10" s="2" t="s">
        <v>24</v>
      </c>
      <c r="O10" s="3">
        <v>15000</v>
      </c>
      <c r="P10" s="4">
        <f>(TableProduits[[#This Row],[Prix d''achat par kg]]+(TableProduits[[#This Row],[Prix d''achat par kg]]*150%))/4400</f>
        <v>8.5227272727272734</v>
      </c>
    </row>
    <row r="11" spans="1:16" ht="32" x14ac:dyDescent="0.2">
      <c r="A11" s="2" t="s">
        <v>53</v>
      </c>
      <c r="B11" s="2" t="s">
        <v>54</v>
      </c>
      <c r="C11" s="2" t="s">
        <v>15</v>
      </c>
      <c r="D11" s="2" t="s">
        <v>55</v>
      </c>
      <c r="E11" s="2" t="s">
        <v>208</v>
      </c>
      <c r="F11" s="2" t="s">
        <v>17</v>
      </c>
      <c r="G11" s="2" t="s">
        <v>17</v>
      </c>
      <c r="H11" s="2" t="s">
        <v>56</v>
      </c>
      <c r="I11" s="2" t="s">
        <v>57</v>
      </c>
      <c r="J11" s="2" t="s">
        <v>58</v>
      </c>
      <c r="K11" s="2" t="s">
        <v>59</v>
      </c>
      <c r="L11" s="2" t="s">
        <v>212</v>
      </c>
      <c r="M11" s="2" t="s">
        <v>23</v>
      </c>
      <c r="N11" s="2" t="s">
        <v>24</v>
      </c>
      <c r="O11" s="3">
        <v>105000</v>
      </c>
      <c r="P11" s="4">
        <f>(TableProduits[[#This Row],[Prix d''achat par kg]]+(TableProduits[[#This Row],[Prix d''achat par kg]]*150%))/4400</f>
        <v>59.659090909090907</v>
      </c>
    </row>
    <row r="12" spans="1:16" ht="32" x14ac:dyDescent="0.2">
      <c r="A12" s="2" t="s">
        <v>60</v>
      </c>
      <c r="B12" s="2" t="s">
        <v>61</v>
      </c>
      <c r="C12" s="2" t="s">
        <v>15</v>
      </c>
      <c r="D12" s="2" t="s">
        <v>62</v>
      </c>
      <c r="E12" s="2" t="s">
        <v>197</v>
      </c>
      <c r="F12" s="2" t="s">
        <v>17</v>
      </c>
      <c r="G12" s="2" t="s">
        <v>17</v>
      </c>
      <c r="H12" s="2" t="s">
        <v>63</v>
      </c>
      <c r="I12" s="2" t="s">
        <v>64</v>
      </c>
      <c r="J12" s="2" t="s">
        <v>65</v>
      </c>
      <c r="K12" s="2" t="s">
        <v>66</v>
      </c>
      <c r="L12" s="2" t="s">
        <v>67</v>
      </c>
      <c r="M12" s="2" t="s">
        <v>23</v>
      </c>
      <c r="N12" s="2" t="s">
        <v>24</v>
      </c>
      <c r="O12" s="3">
        <v>75000</v>
      </c>
      <c r="P12" s="4">
        <f>(TableProduits[[#This Row],[Prix d''achat par kg]]+(TableProduits[[#This Row],[Prix d''achat par kg]]*150%))/4400</f>
        <v>42.613636363636367</v>
      </c>
    </row>
    <row r="13" spans="1:16" ht="32" x14ac:dyDescent="0.2">
      <c r="A13" s="2" t="s">
        <v>68</v>
      </c>
      <c r="B13" s="2" t="s">
        <v>69</v>
      </c>
      <c r="C13" s="2" t="s">
        <v>15</v>
      </c>
      <c r="D13" s="2" t="s">
        <v>62</v>
      </c>
      <c r="E13" s="2" t="s">
        <v>197</v>
      </c>
      <c r="F13" s="2" t="s">
        <v>17</v>
      </c>
      <c r="G13" s="2" t="s">
        <v>17</v>
      </c>
      <c r="H13" s="2" t="s">
        <v>70</v>
      </c>
      <c r="I13" s="2" t="s">
        <v>43</v>
      </c>
      <c r="J13" s="2" t="s">
        <v>71</v>
      </c>
      <c r="K13" s="2" t="s">
        <v>66</v>
      </c>
      <c r="L13" s="2" t="s">
        <v>39</v>
      </c>
      <c r="M13" s="2" t="s">
        <v>23</v>
      </c>
      <c r="N13" s="2" t="s">
        <v>24</v>
      </c>
      <c r="O13" s="3">
        <v>65000</v>
      </c>
      <c r="P13" s="4">
        <f>(TableProduits[[#This Row],[Prix d''achat par kg]]+(TableProduits[[#This Row],[Prix d''achat par kg]]*150%))/4400</f>
        <v>36.93181818181818</v>
      </c>
    </row>
    <row r="14" spans="1:16" ht="32" x14ac:dyDescent="0.2">
      <c r="A14" s="2" t="s">
        <v>72</v>
      </c>
      <c r="B14" s="2" t="s">
        <v>73</v>
      </c>
      <c r="C14" s="2" t="s">
        <v>74</v>
      </c>
      <c r="D14" s="2" t="s">
        <v>17</v>
      </c>
      <c r="E14" s="2"/>
      <c r="F14" s="2" t="s">
        <v>17</v>
      </c>
      <c r="G14" s="2" t="s">
        <v>17</v>
      </c>
      <c r="H14" s="2" t="s">
        <v>75</v>
      </c>
      <c r="I14" s="2" t="s">
        <v>76</v>
      </c>
      <c r="J14" s="2" t="s">
        <v>77</v>
      </c>
      <c r="K14" s="2" t="s">
        <v>78</v>
      </c>
      <c r="L14" s="2" t="s">
        <v>22</v>
      </c>
      <c r="M14" s="2" t="s">
        <v>23</v>
      </c>
      <c r="N14" s="2" t="s">
        <v>24</v>
      </c>
      <c r="O14" s="3">
        <v>75000</v>
      </c>
      <c r="P14" s="4">
        <f>(TableProduits[[#This Row],[Prix d''achat par kg]]+(TableProduits[[#This Row],[Prix d''achat par kg]]*150%))/4400</f>
        <v>42.613636363636367</v>
      </c>
    </row>
    <row r="15" spans="1:16" ht="32" x14ac:dyDescent="0.2">
      <c r="A15" s="2" t="s">
        <v>79</v>
      </c>
      <c r="B15" s="2" t="s">
        <v>80</v>
      </c>
      <c r="C15" s="2" t="s">
        <v>74</v>
      </c>
      <c r="D15" s="2" t="s">
        <v>17</v>
      </c>
      <c r="E15" s="2"/>
      <c r="F15" s="2" t="s">
        <v>17</v>
      </c>
      <c r="G15" s="2" t="s">
        <v>17</v>
      </c>
      <c r="H15" s="2" t="s">
        <v>81</v>
      </c>
      <c r="I15" s="2" t="s">
        <v>82</v>
      </c>
      <c r="J15" s="2" t="s">
        <v>83</v>
      </c>
      <c r="K15" s="2" t="s">
        <v>78</v>
      </c>
      <c r="L15" s="2" t="s">
        <v>22</v>
      </c>
      <c r="M15" s="2" t="s">
        <v>23</v>
      </c>
      <c r="N15" s="2" t="s">
        <v>24</v>
      </c>
      <c r="O15" s="3">
        <v>50000</v>
      </c>
      <c r="P15" s="4">
        <f>(TableProduits[[#This Row],[Prix d''achat par kg]]+(TableProduits[[#This Row],[Prix d''achat par kg]]*150%))/4400</f>
        <v>28.40909090909091</v>
      </c>
    </row>
    <row r="16" spans="1:16" ht="32" x14ac:dyDescent="0.2">
      <c r="A16" s="2" t="s">
        <v>84</v>
      </c>
      <c r="B16" s="2" t="s">
        <v>85</v>
      </c>
      <c r="C16" s="2" t="s">
        <v>74</v>
      </c>
      <c r="D16" s="2" t="s">
        <v>17</v>
      </c>
      <c r="E16" s="2"/>
      <c r="F16" s="2" t="s">
        <v>17</v>
      </c>
      <c r="G16" s="2" t="s">
        <v>17</v>
      </c>
      <c r="H16" s="2" t="s">
        <v>86</v>
      </c>
      <c r="I16" s="2" t="s">
        <v>87</v>
      </c>
      <c r="J16" s="2" t="s">
        <v>88</v>
      </c>
      <c r="K16" s="2" t="s">
        <v>78</v>
      </c>
      <c r="L16" s="2" t="s">
        <v>89</v>
      </c>
      <c r="M16" s="2" t="s">
        <v>23</v>
      </c>
      <c r="N16" s="2" t="s">
        <v>24</v>
      </c>
      <c r="O16" s="3">
        <v>25000</v>
      </c>
      <c r="P16" s="4">
        <f>(TableProduits[[#This Row],[Prix d''achat par kg]]+(TableProduits[[#This Row],[Prix d''achat par kg]]*150%))/4400</f>
        <v>14.204545454545455</v>
      </c>
    </row>
    <row r="17" spans="1:16" ht="32" x14ac:dyDescent="0.2">
      <c r="A17" s="2" t="s">
        <v>90</v>
      </c>
      <c r="B17" s="2" t="s">
        <v>91</v>
      </c>
      <c r="C17" s="2" t="s">
        <v>74</v>
      </c>
      <c r="D17" s="2" t="s">
        <v>17</v>
      </c>
      <c r="E17" s="2"/>
      <c r="F17" s="2" t="s">
        <v>17</v>
      </c>
      <c r="G17" s="2" t="s">
        <v>17</v>
      </c>
      <c r="H17" s="2" t="s">
        <v>92</v>
      </c>
      <c r="I17" s="2" t="s">
        <v>93</v>
      </c>
      <c r="J17" s="2" t="s">
        <v>94</v>
      </c>
      <c r="K17" s="2" t="s">
        <v>78</v>
      </c>
      <c r="L17" s="2" t="s">
        <v>89</v>
      </c>
      <c r="M17" s="2" t="s">
        <v>23</v>
      </c>
      <c r="N17" s="2" t="s">
        <v>24</v>
      </c>
      <c r="O17" s="3">
        <v>15000</v>
      </c>
      <c r="P17" s="4">
        <f>(TableProduits[[#This Row],[Prix d''achat par kg]]+(TableProduits[[#This Row],[Prix d''achat par kg]]*150%))/4400</f>
        <v>8.5227272727272734</v>
      </c>
    </row>
    <row r="18" spans="1:16" ht="32" x14ac:dyDescent="0.2">
      <c r="A18" s="2" t="s">
        <v>95</v>
      </c>
      <c r="B18" s="2" t="s">
        <v>96</v>
      </c>
      <c r="C18" s="2" t="s">
        <v>97</v>
      </c>
      <c r="D18" s="2" t="s">
        <v>17</v>
      </c>
      <c r="E18" s="2"/>
      <c r="F18" s="2" t="s">
        <v>17</v>
      </c>
      <c r="G18" s="2" t="s">
        <v>17</v>
      </c>
      <c r="H18" s="2" t="s">
        <v>98</v>
      </c>
      <c r="I18" s="2" t="s">
        <v>99</v>
      </c>
      <c r="J18" s="2" t="s">
        <v>100</v>
      </c>
      <c r="K18" s="2" t="s">
        <v>78</v>
      </c>
      <c r="L18" s="2" t="s">
        <v>101</v>
      </c>
      <c r="M18" s="2" t="s">
        <v>23</v>
      </c>
      <c r="N18" s="2" t="s">
        <v>24</v>
      </c>
      <c r="O18" s="3">
        <v>200000</v>
      </c>
      <c r="P18" s="4">
        <f>(TableProduits[[#This Row],[Prix d''achat par kg]]+(TableProduits[[#This Row],[Prix d''achat par kg]]*150%))/4400</f>
        <v>113.63636363636364</v>
      </c>
    </row>
    <row r="19" spans="1:16" ht="32" x14ac:dyDescent="0.2">
      <c r="A19" s="2" t="s">
        <v>102</v>
      </c>
      <c r="B19" s="2" t="s">
        <v>103</v>
      </c>
      <c r="C19" s="2" t="s">
        <v>97</v>
      </c>
      <c r="D19" s="2" t="s">
        <v>17</v>
      </c>
      <c r="E19" s="2"/>
      <c r="F19" s="2" t="s">
        <v>17</v>
      </c>
      <c r="G19" s="2" t="s">
        <v>17</v>
      </c>
      <c r="H19" s="2" t="s">
        <v>104</v>
      </c>
      <c r="I19" s="2" t="s">
        <v>105</v>
      </c>
      <c r="J19" s="2" t="s">
        <v>106</v>
      </c>
      <c r="K19" s="2" t="s">
        <v>78</v>
      </c>
      <c r="L19" s="2" t="s">
        <v>107</v>
      </c>
      <c r="M19" s="2" t="s">
        <v>23</v>
      </c>
      <c r="N19" s="2" t="s">
        <v>24</v>
      </c>
      <c r="O19" s="3">
        <v>150000</v>
      </c>
      <c r="P19" s="4">
        <f>(TableProduits[[#This Row],[Prix d''achat par kg]]+(TableProduits[[#This Row],[Prix d''achat par kg]]*150%))/4400</f>
        <v>85.227272727272734</v>
      </c>
    </row>
    <row r="20" spans="1:16" ht="32" x14ac:dyDescent="0.2">
      <c r="A20" s="2" t="s">
        <v>108</v>
      </c>
      <c r="B20" s="2" t="s">
        <v>109</v>
      </c>
      <c r="C20" s="2" t="s">
        <v>110</v>
      </c>
      <c r="D20" s="2" t="s">
        <v>17</v>
      </c>
      <c r="E20" s="2"/>
      <c r="F20" s="2" t="s">
        <v>111</v>
      </c>
      <c r="G20" s="2" t="s">
        <v>17</v>
      </c>
      <c r="H20" s="2" t="s">
        <v>112</v>
      </c>
      <c r="I20" s="2" t="s">
        <v>113</v>
      </c>
      <c r="J20" s="2" t="s">
        <v>114</v>
      </c>
      <c r="K20" s="2" t="s">
        <v>115</v>
      </c>
      <c r="L20" s="2" t="s">
        <v>116</v>
      </c>
      <c r="M20" s="2" t="s">
        <v>117</v>
      </c>
      <c r="N20" s="2" t="s">
        <v>24</v>
      </c>
      <c r="O20" s="3">
        <v>40545</v>
      </c>
      <c r="P20" s="4">
        <f>(TableProduits[[#This Row],[Prix d''achat par kg]]+(TableProduits[[#This Row],[Prix d''achat par kg]]*150%))/4400</f>
        <v>23.036931818181817</v>
      </c>
    </row>
    <row r="21" spans="1:16" ht="32" x14ac:dyDescent="0.2">
      <c r="A21" s="2" t="s">
        <v>118</v>
      </c>
      <c r="B21" s="2" t="s">
        <v>119</v>
      </c>
      <c r="C21" s="2" t="s">
        <v>110</v>
      </c>
      <c r="D21" s="2" t="s">
        <v>17</v>
      </c>
      <c r="E21" s="2"/>
      <c r="F21" s="2" t="s">
        <v>111</v>
      </c>
      <c r="G21" s="2" t="s">
        <v>17</v>
      </c>
      <c r="H21" s="2" t="s">
        <v>120</v>
      </c>
      <c r="I21" s="2" t="s">
        <v>113</v>
      </c>
      <c r="J21" s="2" t="s">
        <v>121</v>
      </c>
      <c r="K21" s="2" t="s">
        <v>115</v>
      </c>
      <c r="L21" s="2" t="s">
        <v>116</v>
      </c>
      <c r="M21" s="2" t="s">
        <v>117</v>
      </c>
      <c r="N21" s="2" t="s">
        <v>24</v>
      </c>
      <c r="O21" s="3">
        <v>63070</v>
      </c>
      <c r="P21" s="4">
        <f>(TableProduits[[#This Row],[Prix d''achat par kg]]+(TableProduits[[#This Row],[Prix d''achat par kg]]*150%))/4400</f>
        <v>35.835227272727273</v>
      </c>
    </row>
    <row r="22" spans="1:16" ht="32" x14ac:dyDescent="0.2">
      <c r="A22" s="2" t="s">
        <v>122</v>
      </c>
      <c r="B22" s="2" t="s">
        <v>123</v>
      </c>
      <c r="C22" s="2" t="s">
        <v>110</v>
      </c>
      <c r="D22" s="2" t="s">
        <v>17</v>
      </c>
      <c r="E22" s="2"/>
      <c r="F22" s="2" t="s">
        <v>111</v>
      </c>
      <c r="G22" s="2" t="s">
        <v>17</v>
      </c>
      <c r="H22" s="2" t="s">
        <v>124</v>
      </c>
      <c r="I22" s="2" t="s">
        <v>113</v>
      </c>
      <c r="J22" s="2" t="s">
        <v>125</v>
      </c>
      <c r="K22" s="2" t="s">
        <v>126</v>
      </c>
      <c r="L22" s="2" t="s">
        <v>116</v>
      </c>
      <c r="M22" s="2" t="s">
        <v>117</v>
      </c>
      <c r="N22" s="2" t="s">
        <v>24</v>
      </c>
      <c r="O22" s="3">
        <v>89000</v>
      </c>
      <c r="P22" s="4">
        <f>(TableProduits[[#This Row],[Prix d''achat par kg]]+(TableProduits[[#This Row],[Prix d''achat par kg]]*150%))/4400</f>
        <v>50.56818181818182</v>
      </c>
    </row>
    <row r="23" spans="1:16" ht="32" x14ac:dyDescent="0.2">
      <c r="A23" s="2" t="s">
        <v>127</v>
      </c>
      <c r="B23" s="2" t="s">
        <v>128</v>
      </c>
      <c r="C23" s="2" t="s">
        <v>110</v>
      </c>
      <c r="D23" s="2" t="s">
        <v>17</v>
      </c>
      <c r="E23" s="2"/>
      <c r="F23" s="2" t="s">
        <v>111</v>
      </c>
      <c r="G23" s="2" t="s">
        <v>17</v>
      </c>
      <c r="H23" s="2" t="s">
        <v>129</v>
      </c>
      <c r="I23" s="2" t="s">
        <v>130</v>
      </c>
      <c r="J23" s="2" t="s">
        <v>131</v>
      </c>
      <c r="K23" s="2" t="s">
        <v>126</v>
      </c>
      <c r="L23" s="2" t="s">
        <v>132</v>
      </c>
      <c r="M23" s="2" t="s">
        <v>117</v>
      </c>
      <c r="N23" s="2" t="s">
        <v>24</v>
      </c>
      <c r="O23" s="3">
        <v>155000</v>
      </c>
      <c r="P23" s="4">
        <f>(TableProduits[[#This Row],[Prix d''achat par kg]]+(TableProduits[[#This Row],[Prix d''achat par kg]]*150%))/4400</f>
        <v>88.068181818181813</v>
      </c>
    </row>
    <row r="24" spans="1:16" ht="32" x14ac:dyDescent="0.2">
      <c r="A24" s="2" t="s">
        <v>133</v>
      </c>
      <c r="B24" s="2" t="s">
        <v>134</v>
      </c>
      <c r="C24" s="2" t="s">
        <v>110</v>
      </c>
      <c r="D24" s="2" t="s">
        <v>17</v>
      </c>
      <c r="E24" s="2"/>
      <c r="F24" s="2" t="s">
        <v>111</v>
      </c>
      <c r="G24" s="2" t="s">
        <v>17</v>
      </c>
      <c r="H24" s="2" t="s">
        <v>135</v>
      </c>
      <c r="I24" s="2" t="s">
        <v>130</v>
      </c>
      <c r="J24" s="2" t="s">
        <v>136</v>
      </c>
      <c r="K24" s="2" t="s">
        <v>126</v>
      </c>
      <c r="L24" s="2" t="s">
        <v>137</v>
      </c>
      <c r="M24" s="2" t="s">
        <v>117</v>
      </c>
      <c r="N24" s="2" t="s">
        <v>24</v>
      </c>
      <c r="O24" s="3">
        <v>391935</v>
      </c>
      <c r="P24" s="4">
        <f>(TableProduits[[#This Row],[Prix d''achat par kg]]+(TableProduits[[#This Row],[Prix d''achat par kg]]*150%))/4400</f>
        <v>222.69034090909091</v>
      </c>
    </row>
    <row r="25" spans="1:16" ht="32" x14ac:dyDescent="0.2">
      <c r="A25" s="2" t="s">
        <v>138</v>
      </c>
      <c r="B25" s="2" t="s">
        <v>139</v>
      </c>
      <c r="C25" s="2" t="s">
        <v>110</v>
      </c>
      <c r="D25" s="2" t="s">
        <v>17</v>
      </c>
      <c r="E25" s="2"/>
      <c r="F25" s="2" t="s">
        <v>111</v>
      </c>
      <c r="G25" s="2" t="s">
        <v>17</v>
      </c>
      <c r="H25" s="2" t="s">
        <v>140</v>
      </c>
      <c r="I25" s="2" t="s">
        <v>141</v>
      </c>
      <c r="J25" s="2" t="s">
        <v>142</v>
      </c>
      <c r="K25" s="2" t="s">
        <v>143</v>
      </c>
      <c r="L25" s="2" t="s">
        <v>144</v>
      </c>
      <c r="M25" s="2" t="s">
        <v>117</v>
      </c>
      <c r="N25" s="2" t="s">
        <v>144</v>
      </c>
      <c r="O25" s="3">
        <v>675000</v>
      </c>
      <c r="P25" s="4">
        <f>(TableProduits[[#This Row],[Prix d''achat par kg]]+(TableProduits[[#This Row],[Prix d''achat par kg]]*150%))/4400</f>
        <v>383.52272727272725</v>
      </c>
    </row>
    <row r="26" spans="1:16" ht="32" x14ac:dyDescent="0.2">
      <c r="A26" s="2" t="s">
        <v>145</v>
      </c>
      <c r="B26" s="2" t="s">
        <v>146</v>
      </c>
      <c r="C26" s="2" t="s">
        <v>110</v>
      </c>
      <c r="D26" s="2" t="s">
        <v>17</v>
      </c>
      <c r="E26" s="2"/>
      <c r="F26" s="2" t="s">
        <v>147</v>
      </c>
      <c r="G26" s="2" t="s">
        <v>17</v>
      </c>
      <c r="H26" s="2" t="s">
        <v>148</v>
      </c>
      <c r="I26" s="2" t="s">
        <v>149</v>
      </c>
      <c r="J26" s="2" t="s">
        <v>150</v>
      </c>
      <c r="K26" s="2" t="s">
        <v>126</v>
      </c>
      <c r="L26" s="2" t="s">
        <v>116</v>
      </c>
      <c r="M26" s="2" t="s">
        <v>117</v>
      </c>
      <c r="N26" s="2" t="s">
        <v>24</v>
      </c>
      <c r="O26" s="3">
        <v>45000</v>
      </c>
      <c r="P26" s="4">
        <f>(TableProduits[[#This Row],[Prix d''achat par kg]]+(TableProduits[[#This Row],[Prix d''achat par kg]]*150%))/4400</f>
        <v>25.568181818181817</v>
      </c>
    </row>
    <row r="27" spans="1:16" ht="16" x14ac:dyDescent="0.2">
      <c r="A27" s="2" t="s">
        <v>151</v>
      </c>
      <c r="B27" s="2" t="s">
        <v>152</v>
      </c>
      <c r="C27" s="2" t="s">
        <v>110</v>
      </c>
      <c r="D27" s="2" t="s">
        <v>17</v>
      </c>
      <c r="E27" s="2"/>
      <c r="F27" s="2" t="s">
        <v>147</v>
      </c>
      <c r="G27" s="2" t="s">
        <v>17</v>
      </c>
      <c r="H27" s="2" t="s">
        <v>153</v>
      </c>
      <c r="I27" s="2" t="s">
        <v>154</v>
      </c>
      <c r="J27" s="2" t="s">
        <v>155</v>
      </c>
      <c r="K27" s="2" t="s">
        <v>126</v>
      </c>
      <c r="L27" s="2" t="s">
        <v>116</v>
      </c>
      <c r="M27" s="2" t="s">
        <v>117</v>
      </c>
      <c r="N27" s="2" t="s">
        <v>24</v>
      </c>
      <c r="O27" s="3">
        <v>78000</v>
      </c>
      <c r="P27" s="4">
        <f>(TableProduits[[#This Row],[Prix d''achat par kg]]+(TableProduits[[#This Row],[Prix d''achat par kg]]*150%))/4400</f>
        <v>44.31818181818182</v>
      </c>
    </row>
    <row r="28" spans="1:16" ht="16" x14ac:dyDescent="0.2">
      <c r="A28" s="2" t="s">
        <v>156</v>
      </c>
      <c r="B28" s="2" t="s">
        <v>157</v>
      </c>
      <c r="C28" s="2" t="s">
        <v>110</v>
      </c>
      <c r="D28" s="2" t="s">
        <v>17</v>
      </c>
      <c r="E28" s="2"/>
      <c r="F28" s="2" t="s">
        <v>158</v>
      </c>
      <c r="G28" s="2" t="s">
        <v>17</v>
      </c>
      <c r="H28" s="2" t="s">
        <v>159</v>
      </c>
      <c r="I28" s="2" t="s">
        <v>160</v>
      </c>
      <c r="J28" s="2" t="s">
        <v>161</v>
      </c>
      <c r="K28" s="2" t="s">
        <v>126</v>
      </c>
      <c r="L28" s="2" t="s">
        <v>116</v>
      </c>
      <c r="M28" s="2" t="s">
        <v>117</v>
      </c>
      <c r="N28" s="2" t="s">
        <v>24</v>
      </c>
      <c r="O28" s="3">
        <v>49555</v>
      </c>
      <c r="P28" s="4">
        <f>(TableProduits[[#This Row],[Prix d''achat par kg]]+(TableProduits[[#This Row],[Prix d''achat par kg]]*150%))/4400</f>
        <v>28.15625</v>
      </c>
    </row>
    <row r="29" spans="1:16" ht="32" x14ac:dyDescent="0.2">
      <c r="A29" s="2" t="s">
        <v>162</v>
      </c>
      <c r="B29" s="2" t="s">
        <v>163</v>
      </c>
      <c r="C29" s="2" t="s">
        <v>110</v>
      </c>
      <c r="D29" s="2" t="s">
        <v>17</v>
      </c>
      <c r="E29" s="2"/>
      <c r="F29" s="2" t="s">
        <v>158</v>
      </c>
      <c r="G29" s="2" t="s">
        <v>17</v>
      </c>
      <c r="H29" s="2" t="s">
        <v>164</v>
      </c>
      <c r="I29" s="2" t="s">
        <v>165</v>
      </c>
      <c r="J29" s="2" t="s">
        <v>166</v>
      </c>
      <c r="K29" s="2" t="s">
        <v>126</v>
      </c>
      <c r="L29" s="2" t="s">
        <v>116</v>
      </c>
      <c r="M29" s="2" t="s">
        <v>117</v>
      </c>
      <c r="N29" s="2" t="s">
        <v>24</v>
      </c>
      <c r="O29" s="3">
        <v>76585</v>
      </c>
      <c r="P29" s="4">
        <f>(TableProduits[[#This Row],[Prix d''achat par kg]]+(TableProduits[[#This Row],[Prix d''achat par kg]]*150%))/4400</f>
        <v>43.514204545454547</v>
      </c>
    </row>
    <row r="30" spans="1:16" ht="16" x14ac:dyDescent="0.2">
      <c r="A30" s="2" t="s">
        <v>167</v>
      </c>
      <c r="B30" s="2" t="s">
        <v>168</v>
      </c>
      <c r="C30" s="2" t="s">
        <v>169</v>
      </c>
      <c r="D30" s="2" t="s">
        <v>17</v>
      </c>
      <c r="E30" s="2"/>
      <c r="F30" s="2" t="s">
        <v>17</v>
      </c>
      <c r="G30" s="2" t="s">
        <v>158</v>
      </c>
      <c r="H30" s="2" t="s">
        <v>170</v>
      </c>
      <c r="I30" s="2" t="s">
        <v>171</v>
      </c>
      <c r="J30" s="2" t="s">
        <v>172</v>
      </c>
      <c r="K30" s="2" t="s">
        <v>173</v>
      </c>
      <c r="L30" s="2" t="s">
        <v>116</v>
      </c>
      <c r="M30" s="2" t="s">
        <v>23</v>
      </c>
      <c r="N30" s="2" t="s">
        <v>24</v>
      </c>
      <c r="O30" s="3">
        <v>216240</v>
      </c>
      <c r="P30" s="4">
        <f>(TableProduits[[#This Row],[Prix d''achat par kg]]+(TableProduits[[#This Row],[Prix d''achat par kg]]*150%))/4400</f>
        <v>122.86363636363636</v>
      </c>
    </row>
    <row r="31" spans="1:16" ht="32" x14ac:dyDescent="0.2">
      <c r="A31" s="2" t="s">
        <v>174</v>
      </c>
      <c r="B31" s="2" t="s">
        <v>175</v>
      </c>
      <c r="C31" s="2" t="s">
        <v>169</v>
      </c>
      <c r="D31" s="2" t="s">
        <v>17</v>
      </c>
      <c r="E31" s="2"/>
      <c r="F31" s="2" t="s">
        <v>17</v>
      </c>
      <c r="G31" s="2" t="s">
        <v>176</v>
      </c>
      <c r="H31" s="2" t="s">
        <v>177</v>
      </c>
      <c r="I31" s="2" t="s">
        <v>57</v>
      </c>
      <c r="J31" s="2" t="s">
        <v>178</v>
      </c>
      <c r="K31" s="2" t="s">
        <v>173</v>
      </c>
      <c r="L31" s="2" t="s">
        <v>116</v>
      </c>
      <c r="M31" s="2" t="s">
        <v>23</v>
      </c>
      <c r="N31" s="2" t="s">
        <v>24</v>
      </c>
      <c r="O31" s="3"/>
      <c r="P31" s="4">
        <f>(TableProduits[[#This Row],[Prix d''achat par kg]]+(TableProduits[[#This Row],[Prix d''achat par kg]]*150%))/4400</f>
        <v>0</v>
      </c>
    </row>
    <row r="32" spans="1:16" ht="32" x14ac:dyDescent="0.2">
      <c r="A32" s="2" t="s">
        <v>179</v>
      </c>
      <c r="B32" s="2" t="s">
        <v>180</v>
      </c>
      <c r="C32" s="2" t="s">
        <v>169</v>
      </c>
      <c r="D32" s="2" t="s">
        <v>17</v>
      </c>
      <c r="E32" s="2"/>
      <c r="F32" s="2" t="s">
        <v>17</v>
      </c>
      <c r="G32" s="2" t="s">
        <v>158</v>
      </c>
      <c r="H32" s="2" t="s">
        <v>181</v>
      </c>
      <c r="I32" s="2" t="s">
        <v>57</v>
      </c>
      <c r="J32" s="2" t="s">
        <v>182</v>
      </c>
      <c r="K32" s="2" t="s">
        <v>173</v>
      </c>
      <c r="L32" s="2" t="s">
        <v>116</v>
      </c>
      <c r="M32" s="2" t="s">
        <v>23</v>
      </c>
      <c r="N32" s="2" t="s">
        <v>24</v>
      </c>
      <c r="O32" s="3">
        <v>170000</v>
      </c>
      <c r="P32" s="4">
        <f>(TableProduits[[#This Row],[Prix d''achat par kg]]+(TableProduits[[#This Row],[Prix d''achat par kg]]*150%))/4400</f>
        <v>96.590909090909093</v>
      </c>
    </row>
    <row r="33" spans="1:16" ht="32" x14ac:dyDescent="0.2">
      <c r="A33" s="2" t="s">
        <v>183</v>
      </c>
      <c r="B33" s="2" t="s">
        <v>184</v>
      </c>
      <c r="C33" s="2" t="s">
        <v>169</v>
      </c>
      <c r="D33" s="2" t="s">
        <v>17</v>
      </c>
      <c r="E33" s="2"/>
      <c r="F33" s="2" t="s">
        <v>17</v>
      </c>
      <c r="G33" s="2" t="s">
        <v>176</v>
      </c>
      <c r="H33" s="2" t="s">
        <v>185</v>
      </c>
      <c r="I33" s="2" t="s">
        <v>57</v>
      </c>
      <c r="J33" s="2" t="s">
        <v>186</v>
      </c>
      <c r="K33" s="2" t="s">
        <v>173</v>
      </c>
      <c r="L33" s="2" t="s">
        <v>116</v>
      </c>
      <c r="M33" s="2" t="s">
        <v>23</v>
      </c>
      <c r="N33" s="2" t="s">
        <v>24</v>
      </c>
      <c r="O33" s="3"/>
      <c r="P33" s="4">
        <f>(TableProduits[[#This Row],[Prix d''achat par kg]]+(TableProduits[[#This Row],[Prix d''achat par kg]]*150%))/4400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42" customWidth="1"/>
    <col min="2" max="2" width="24" customWidth="1"/>
    <col min="3" max="3" width="28" customWidth="1"/>
    <col min="4" max="4" width="26" customWidth="1"/>
  </cols>
  <sheetData>
    <row r="1" spans="1:4" x14ac:dyDescent="0.2">
      <c r="A1" t="s">
        <v>187</v>
      </c>
    </row>
    <row r="2" spans="1:4" x14ac:dyDescent="0.2">
      <c r="A2" t="s">
        <v>188</v>
      </c>
    </row>
    <row r="5" spans="1:4" x14ac:dyDescent="0.2">
      <c r="A5" t="s">
        <v>189</v>
      </c>
    </row>
    <row r="6" spans="1:4" x14ac:dyDescent="0.2">
      <c r="A6" t="s">
        <v>190</v>
      </c>
    </row>
    <row r="8" spans="1:4" x14ac:dyDescent="0.2">
      <c r="A8" t="s">
        <v>191</v>
      </c>
    </row>
    <row r="9" spans="1:4" x14ac:dyDescent="0.2">
      <c r="A9" t="s">
        <v>15</v>
      </c>
      <c r="B9" t="s">
        <v>62</v>
      </c>
      <c r="C9" t="s">
        <v>111</v>
      </c>
      <c r="D9" t="s">
        <v>158</v>
      </c>
    </row>
    <row r="10" spans="1:4" x14ac:dyDescent="0.2">
      <c r="A10" t="s">
        <v>74</v>
      </c>
      <c r="B10" t="s">
        <v>16</v>
      </c>
      <c r="C10" t="s">
        <v>147</v>
      </c>
      <c r="D10" t="s">
        <v>176</v>
      </c>
    </row>
    <row r="11" spans="1:4" x14ac:dyDescent="0.2">
      <c r="A11" t="s">
        <v>97</v>
      </c>
      <c r="B11" t="s">
        <v>47</v>
      </c>
      <c r="C11" t="s">
        <v>158</v>
      </c>
    </row>
    <row r="12" spans="1:4" x14ac:dyDescent="0.2">
      <c r="A12" t="s">
        <v>110</v>
      </c>
      <c r="B12" t="s">
        <v>55</v>
      </c>
      <c r="C12" t="s">
        <v>176</v>
      </c>
    </row>
    <row r="13" spans="1:4" x14ac:dyDescent="0.2">
      <c r="A13" t="s">
        <v>169</v>
      </c>
    </row>
    <row r="14" spans="1:4" x14ac:dyDescent="0.2">
      <c r="A14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Produits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2026-05-02T08:57:20Z</dcterms:created>
  <dcterms:modified xsi:type="dcterms:W3CDTF">2026-05-02T08:57:20Z</dcterms:modified>
</cp:coreProperties>
</file>